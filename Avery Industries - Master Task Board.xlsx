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Queue" sheetId="1" state="visible" r:id="rId1"/>
    <sheet name="Agent Tasks" sheetId="2" state="visible" r:id="rId2"/>
    <sheet name="Approvals" sheetId="3" state="visible" r:id="rId3"/>
    <sheet name="Executive Reports" sheetId="4" state="visible" r:id="rId4"/>
    <sheet name="Idea Vault" sheetId="5" state="visible" r:id="rId5"/>
    <sheet name="Leads" sheetId="6" state="visible" r:id="rId6"/>
    <sheet name="Departments" sheetId="7" state="visible" r:id="rId7"/>
    <sheet name="Agents" sheetId="8" state="visible" r:id="rId8"/>
    <sheet name="SOPs" sheetId="9" state="visible" r:id="rId9"/>
    <sheet name="Daily Brief" sheetId="10" state="visible" r:id="rId10"/>
  </sheets>
  <definedNames>
    <definedName name="_xlnm._FilterDatabase" localSheetId="0" hidden="1">'Executive Queue'!$A$1:$I$2</definedName>
    <definedName name="_xlnm._FilterDatabase" localSheetId="1" hidden="1">'Agent Tasks'!$A$1:$N$2</definedName>
    <definedName name="_xlnm._FilterDatabase" localSheetId="2" hidden="1">'Approvals'!$A$1:$L$2</definedName>
    <definedName name="_xlnm._FilterDatabase" localSheetId="3" hidden="1">'Executive Reports'!$A$1:$J$2</definedName>
    <definedName name="_xlnm._FilterDatabase" localSheetId="4" hidden="1">'Idea Vault'!$A$1:$L$2</definedName>
    <definedName name="_xlnm._FilterDatabase" localSheetId="5" hidden="1">'Leads'!$A$1:$N$2</definedName>
    <definedName name="_xlnm._FilterDatabase" localSheetId="6" hidden="1">'Departments'!$A$1:$H$17</definedName>
    <definedName name="_xlnm._FilterDatabase" localSheetId="7" hidden="1">'Agents'!$A$1:$K$13</definedName>
    <definedName name="_xlnm._FilterDatabase" localSheetId="8" hidden="1">'SOPs'!$A$1:$G$8</definedName>
    <definedName name="_xlnm._FilterDatabase" localSheetId="9" hidden="1">'Daily Brief'!$A$1:$C$11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Priority</t>
        </is>
      </c>
      <c r="B1" s="1" t="inlineStr">
        <is>
          <t>Task</t>
        </is>
      </c>
      <c r="C1" s="1" t="inlineStr">
        <is>
          <t>Department</t>
        </is>
      </c>
      <c r="D1" s="1" t="inlineStr">
        <is>
          <t>Assigned To</t>
        </is>
      </c>
      <c r="E1" s="1" t="inlineStr">
        <is>
          <t>Status</t>
        </is>
      </c>
      <c r="F1" s="1" t="inlineStr">
        <is>
          <t>Needs Approval</t>
        </is>
      </c>
      <c r="G1" s="1" t="inlineStr">
        <is>
          <t>Due Date</t>
        </is>
      </c>
      <c r="H1" s="1" t="inlineStr">
        <is>
          <t>Notes</t>
        </is>
      </c>
      <c r="I1" s="1" t="inlineStr">
        <is>
          <t>Next Action</t>
        </is>
      </c>
    </row>
  </sheetData>
  <autoFilter ref="A1:I2"/>
  <conditionalFormatting sqref="A2:I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dataValidations count="3">
    <dataValidation sqref="A2:A500" showDropDown="0" showInputMessage="0" showErrorMessage="0" allowBlank="1" type="list">
      <formula1>"Critical,High,Medium,Low,Parking Lot"</formula1>
    </dataValidation>
    <dataValidation sqref="E2:E500" showDropDown="0" showInputMessage="0" showErrorMessage="0" allowBlank="1" type="list">
      <formula1>"Pending,Review,Approved,Complete,Blocked"</formula1>
    </dataValidation>
    <dataValidation sqref="F2:F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2" customWidth="1" min="8" max="8"/>
    <col width="19" customWidth="1" min="9" max="9"/>
    <col width="14" customWidth="1" min="10" max="10"/>
    <col width="12" customWidth="1" min="11" max="11"/>
    <col width="14" customWidth="1" min="12" max="12"/>
    <col width="13" customWidth="1" min="13" max="13"/>
    <col width="18" customWidth="1" min="14" max="14"/>
  </cols>
  <sheetData>
    <row r="1">
      <c r="A1" s="1" t="inlineStr">
        <is>
          <t>Task ID</t>
        </is>
      </c>
      <c r="B1" s="1" t="inlineStr">
        <is>
          <t>Task Title</t>
        </is>
      </c>
      <c r="C1" s="1" t="inlineStr">
        <is>
          <t>Description</t>
        </is>
      </c>
      <c r="D1" s="1" t="inlineStr">
        <is>
          <t>Department</t>
        </is>
      </c>
      <c r="E1" s="1" t="inlineStr">
        <is>
          <t>Assigned Agent</t>
        </is>
      </c>
      <c r="F1" s="1" t="inlineStr">
        <is>
          <t>Manager Agent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Approval Required</t>
        </is>
      </c>
      <c r="J1" s="1" t="inlineStr">
        <is>
          <t>Created Date</t>
        </is>
      </c>
      <c r="K1" s="1" t="inlineStr">
        <is>
          <t>Due Date</t>
        </is>
      </c>
      <c r="L1" s="1" t="inlineStr">
        <is>
          <t>Dependencies</t>
        </is>
      </c>
      <c r="M1" s="1" t="inlineStr">
        <is>
          <t>Output Link</t>
        </is>
      </c>
      <c r="N1" s="1" t="inlineStr">
        <is>
          <t>Completion Notes</t>
        </is>
      </c>
    </row>
  </sheetData>
  <autoFilter ref="A1:N2"/>
  <conditionalFormatting sqref="A2:N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dataValidations count="3">
    <dataValidation sqref="G2:G500" showDropDown="0" showInputMessage="0" showErrorMessage="0" allowBlank="1" type="list">
      <formula1>"Critical,High,Medium,Low,Parking Lot"</formula1>
    </dataValidation>
    <dataValidation sqref="H2:H500" showDropDown="0" showInputMessage="0" showErrorMessage="0" allowBlank="1" type="list">
      <formula1>"Backlog,Assigned,Working,Review,Approved,Complete,Blocked"</formula1>
    </dataValidation>
    <dataValidation sqref="I2:I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</cols>
  <sheetData>
    <row r="1">
      <c r="A1" s="1" t="inlineStr">
        <is>
          <t>Approval ID</t>
        </is>
      </c>
      <c r="B1" s="1" t="inlineStr">
        <is>
          <t>Date</t>
        </is>
      </c>
      <c r="C1" s="1" t="inlineStr">
        <is>
          <t>Request</t>
        </is>
      </c>
      <c r="D1" s="1" t="inlineStr">
        <is>
          <t>Requesting Agent</t>
        </is>
      </c>
      <c r="E1" s="1" t="inlineStr">
        <is>
          <t>Department</t>
        </is>
      </c>
      <c r="F1" s="1" t="inlineStr">
        <is>
          <t>Cost</t>
        </is>
      </c>
      <c r="G1" s="1" t="inlineStr">
        <is>
          <t>Risk Level</t>
        </is>
      </c>
      <c r="H1" s="1" t="inlineStr">
        <is>
          <t>Reason</t>
        </is>
      </c>
      <c r="I1" s="1" t="inlineStr">
        <is>
          <t>Status</t>
        </is>
      </c>
      <c r="J1" s="1" t="inlineStr">
        <is>
          <t>Cole Decision</t>
        </is>
      </c>
      <c r="K1" s="1" t="inlineStr">
        <is>
          <t>Decision Date</t>
        </is>
      </c>
      <c r="L1" s="1" t="inlineStr">
        <is>
          <t>Notes</t>
        </is>
      </c>
    </row>
  </sheetData>
  <autoFilter ref="A1:L2"/>
  <conditionalFormatting sqref="A2:L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dataValidations count="2">
    <dataValidation sqref="G2:G500" showDropDown="0" showInputMessage="0" showErrorMessage="0" allowBlank="1" type="list">
      <formula1>"Low,Medium,High,Critical"</formula1>
    </dataValidation>
    <dataValidation sqref="I2:I500" showDropDown="0" showInputMessage="0" showErrorMessage="0" allowBlank="1" type="list">
      <formula1>"Pending,Approved,Rejected,Needs More Info"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7" customWidth="1" min="8" max="8"/>
    <col width="18" customWidth="1" min="9" max="9"/>
    <col width="15" customWidth="1" min="10" max="10"/>
  </cols>
  <sheetData>
    <row r="1">
      <c r="A1" s="1" t="inlineStr">
        <is>
          <t>Report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Manager Agent</t>
        </is>
      </c>
      <c r="E1" s="1" t="inlineStr">
        <is>
          <t>Summary</t>
        </is>
      </c>
      <c r="F1" s="1" t="inlineStr">
        <is>
          <t>Completed</t>
        </is>
      </c>
      <c r="G1" s="1" t="inlineStr">
        <is>
          <t>Blockers</t>
        </is>
      </c>
      <c r="H1" s="1" t="inlineStr">
        <is>
          <t>Recommendations</t>
        </is>
      </c>
      <c r="I1" s="1" t="inlineStr">
        <is>
          <t>Approvals Needed</t>
        </is>
      </c>
      <c r="J1" s="1" t="inlineStr">
        <is>
          <t>Next 24 Hours</t>
        </is>
      </c>
    </row>
    <row r="2">
      <c r="A2" t="inlineStr">
        <is>
          <t>RPT-0001</t>
        </is>
      </c>
      <c r="B2" t="inlineStr">
        <is>
          <t>2026-06-02</t>
        </is>
      </c>
      <c r="C2" t="inlineStr">
        <is>
          <t>Executive Operations</t>
        </is>
      </c>
      <c r="D2" t="inlineStr">
        <is>
          <t>ATLAS Prime</t>
        </is>
      </c>
      <c r="E2" t="inlineStr">
        <is>
          <t>Daily board refresh completed at 2026-06-02 14:27:22.</t>
        </is>
      </c>
      <c r="F2" t="inlineStr">
        <is>
          <t>Refreshed Daily Brief formulas and counters.</t>
        </is>
      </c>
      <c r="G2" t="inlineStr">
        <is>
          <t>Google Sheets live sync requires Drive connector create/write permission.</t>
        </is>
      </c>
      <c r="H2" t="inlineStr">
        <is>
          <t>Review Executive Queue, Approvals, blocked tasks, and new leads.</t>
        </is>
      </c>
      <c r="I2">
        <f>COUNTIF(Approvals!I:I,"Pending")</f>
        <v/>
      </c>
      <c r="J2" t="inlineStr">
        <is>
          <t>Move one revenue task forward before expanding roadmap.</t>
        </is>
      </c>
    </row>
  </sheetData>
  <autoFilter ref="A1:J2"/>
  <conditionalFormatting sqref="A2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12" customWidth="1" min="9" max="9"/>
    <col width="18" customWidth="1" min="10" max="10"/>
    <col width="17" customWidth="1" min="11" max="11"/>
    <col width="13" customWidth="1" min="12" max="12"/>
  </cols>
  <sheetData>
    <row r="1">
      <c r="A1" s="1" t="inlineStr">
        <is>
          <t>Idea ID</t>
        </is>
      </c>
      <c r="B1" s="1" t="inlineStr">
        <is>
          <t>Idea</t>
        </is>
      </c>
      <c r="C1" s="1" t="inlineStr">
        <is>
          <t>Source</t>
        </is>
      </c>
      <c r="D1" s="1" t="inlineStr">
        <is>
          <t>Division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Revenue Potential</t>
        </is>
      </c>
      <c r="H1" s="1" t="inlineStr">
        <is>
          <t>Impact Potential</t>
        </is>
      </c>
      <c r="I1" s="1" t="inlineStr">
        <is>
          <t>Status</t>
        </is>
      </c>
      <c r="J1" s="1" t="inlineStr">
        <is>
          <t>Assigned Manager</t>
        </is>
      </c>
      <c r="K1" s="1" t="inlineStr">
        <is>
          <t>Expansion Notes</t>
        </is>
      </c>
      <c r="L1" s="1" t="inlineStr">
        <is>
          <t>Next Action</t>
        </is>
      </c>
    </row>
  </sheetData>
  <autoFilter ref="A1:L2"/>
  <conditionalFormatting sqref="A2:L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dataValidations count="3">
    <dataValidation sqref="E2:E500" showDropDown="0" showInputMessage="0" showErrorMessage="0" allowBlank="1" type="list">
      <formula1>"Content,Product,App,Marketing,Sales,Philanthropy,Real Estate,Entertainment,Education,Automation"</formula1>
    </dataValidation>
    <dataValidation sqref="F2:F500" showDropDown="0" showInputMessage="0" showErrorMessage="0" allowBlank="1" type="list">
      <formula1>"Critical,High,Medium,Low,Parking Lot"</formula1>
    </dataValidation>
    <dataValidation sqref="I2:I500" showDropDown="0" showInputMessage="0" showErrorMessage="0" allowBlank="1" type="list">
      <formula1>"Captured,Expanded,Assigned,Active,Paused,Archived"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6" customWidth="1" min="11" max="11"/>
    <col width="14" customWidth="1" min="12" max="12"/>
    <col width="16" customWidth="1" min="13" max="13"/>
    <col width="12" customWidth="1" min="14" max="14"/>
  </cols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Company/Channel</t>
        </is>
      </c>
      <c r="D1" s="1" t="inlineStr">
        <is>
          <t>Platform</t>
        </is>
      </c>
      <c r="E1" s="1" t="inlineStr">
        <is>
          <t>Contact</t>
        </is>
      </c>
      <c r="F1" s="1" t="inlineStr">
        <is>
          <t>Source</t>
        </is>
      </c>
      <c r="G1" s="1" t="inlineStr">
        <is>
          <t>Niche</t>
        </is>
      </c>
      <c r="H1" s="1" t="inlineStr">
        <is>
          <t>Opportunity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Assigned Agent</t>
        </is>
      </c>
      <c r="L1" s="1" t="inlineStr">
        <is>
          <t>Last Contact</t>
        </is>
      </c>
      <c r="M1" s="1" t="inlineStr">
        <is>
          <t>Next Follow-Up</t>
        </is>
      </c>
      <c r="N1" s="1" t="inlineStr">
        <is>
          <t>Notes</t>
        </is>
      </c>
    </row>
  </sheetData>
  <autoFilter ref="A1:N2"/>
  <conditionalFormatting sqref="A2:N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dataValidations count="2">
    <dataValidation sqref="I2:I500" showDropDown="0" showInputMessage="0" showErrorMessage="0" allowBlank="1" type="list">
      <formula1>"New,Researching,Qualified,Draft Proposal,Awaiting Approval,Contacted,Follow-Up,Won,Lost,Archived"</formula1>
    </dataValidation>
    <dataValidation sqref="J2:J500" showDropDown="0" showInputMessage="0" showErrorMessage="0" allowBlank="1" type="list">
      <formula1>"Critical,High,Medium,Low,Parking Lot"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9" customWidth="1" min="3" max="3"/>
    <col width="15" customWidth="1" min="4" max="4"/>
    <col width="48" customWidth="1" min="5" max="5"/>
    <col width="48" customWidth="1" min="6" max="6"/>
    <col width="12" customWidth="1" min="7" max="7"/>
    <col width="12" customWidth="1" min="8" max="8"/>
  </cols>
  <sheetData>
    <row r="1">
      <c r="A1" s="1" t="inlineStr">
        <is>
          <t>Department ID</t>
        </is>
      </c>
      <c r="B1" s="1" t="inlineStr">
        <is>
          <t>Department Name</t>
        </is>
      </c>
      <c r="C1" s="1" t="inlineStr">
        <is>
          <t>Division</t>
        </is>
      </c>
      <c r="D1" s="1" t="inlineStr">
        <is>
          <t>Manager Agent</t>
        </is>
      </c>
      <c r="E1" s="1" t="inlineStr">
        <is>
          <t>Mission</t>
        </is>
      </c>
      <c r="F1" s="1" t="inlineStr">
        <is>
          <t>Success Metric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D-001</t>
        </is>
      </c>
      <c r="B2" t="inlineStr">
        <is>
          <t>Executive Operations</t>
        </is>
      </c>
      <c r="C2" t="inlineStr">
        <is>
          <t>Executive</t>
        </is>
      </c>
      <c r="D2" t="inlineStr">
        <is>
          <t>ATLAS Prime</t>
        </is>
      </c>
      <c r="E2" t="inlineStr">
        <is>
          <t>Run the company operating rhythm.</t>
        </is>
      </c>
      <c r="F2" t="inlineStr">
        <is>
          <t>Cole has one clear command center.</t>
        </is>
      </c>
      <c r="G2" t="inlineStr">
        <is>
          <t>Active</t>
        </is>
      </c>
    </row>
    <row r="3">
      <c r="A3" t="inlineStr">
        <is>
          <t>D-002</t>
        </is>
      </c>
      <c r="B3" t="inlineStr">
        <is>
          <t>Executive Strategy</t>
        </is>
      </c>
      <c r="C3" t="inlineStr">
        <is>
          <t>Executive</t>
        </is>
      </c>
      <c r="D3" t="inlineStr">
        <is>
          <t>Echo</t>
        </is>
      </c>
      <c r="E3" t="inlineStr">
        <is>
          <t>Analyze opportunities, risks, and long-term plans.</t>
        </is>
      </c>
      <c r="F3" t="inlineStr">
        <is>
          <t>Strategic choices are narrowed and defensible.</t>
        </is>
      </c>
      <c r="G3" t="inlineStr">
        <is>
          <t>Active</t>
        </is>
      </c>
    </row>
    <row r="4">
      <c r="A4" t="inlineStr">
        <is>
          <t>D-003</t>
        </is>
      </c>
      <c r="B4" t="inlineStr">
        <is>
          <t>ATLAS Systems</t>
        </is>
      </c>
      <c r="C4" t="inlineStr">
        <is>
          <t>ATLAS</t>
        </is>
      </c>
      <c r="D4" t="inlineStr">
        <is>
          <t>Circuit</t>
        </is>
      </c>
      <c r="E4" t="inlineStr">
        <is>
          <t>Build the internal operating system.</t>
        </is>
      </c>
      <c r="F4" t="inlineStr">
        <is>
          <t>Reliable dashboard, memory, tasks, approvals, and reports.</t>
        </is>
      </c>
      <c r="G4" t="inlineStr">
        <is>
          <t>Active</t>
        </is>
      </c>
    </row>
    <row r="5">
      <c r="A5" t="inlineStr">
        <is>
          <t>D-004</t>
        </is>
      </c>
      <c r="B5" t="inlineStr">
        <is>
          <t>Creator Logistics Sales</t>
        </is>
      </c>
      <c r="C5" t="inlineStr">
        <is>
          <t>Creator Logistics</t>
        </is>
      </c>
      <c r="D5" t="inlineStr">
        <is>
          <t>Broker</t>
        </is>
      </c>
      <c r="E5" t="inlineStr">
        <is>
          <t>Find and advance revenue leads.</t>
        </is>
      </c>
      <c r="F5" t="inlineStr">
        <is>
          <t>Qualified leads and closed service deals.</t>
        </is>
      </c>
      <c r="G5" t="inlineStr">
        <is>
          <t>Active</t>
        </is>
      </c>
    </row>
    <row r="6">
      <c r="A6" t="inlineStr">
        <is>
          <t>D-005</t>
        </is>
      </c>
      <c r="B6" t="inlineStr">
        <is>
          <t>Creator Logistics Operations</t>
        </is>
      </c>
      <c r="C6" t="inlineStr">
        <is>
          <t>Creator Logistics</t>
        </is>
      </c>
      <c r="D6" t="inlineStr">
        <is>
          <t>Mercury</t>
        </is>
      </c>
      <c r="E6" t="inlineStr">
        <is>
          <t>Deliver creator service work cleanly.</t>
        </is>
      </c>
      <c r="F6" t="inlineStr">
        <is>
          <t>On-time delivery and low revision load.</t>
        </is>
      </c>
      <c r="G6" t="inlineStr">
        <is>
          <t>Active</t>
        </is>
      </c>
    </row>
    <row r="7">
      <c r="A7" t="inlineStr">
        <is>
          <t>D-006</t>
        </is>
      </c>
      <c r="B7" t="inlineStr">
        <is>
          <t>Marketing &amp; Growth</t>
        </is>
      </c>
      <c r="C7" t="inlineStr">
        <is>
          <t>Marketing</t>
        </is>
      </c>
      <c r="D7" t="inlineStr">
        <is>
          <t>Broadcaster</t>
        </is>
      </c>
      <c r="E7" t="inlineStr">
        <is>
          <t>Grow trust, visibility, and demand.</t>
        </is>
      </c>
      <c r="F7" t="inlineStr">
        <is>
          <t>Consistent audience and lead growth.</t>
        </is>
      </c>
      <c r="G7" t="inlineStr">
        <is>
          <t>Active</t>
        </is>
      </c>
    </row>
    <row r="8">
      <c r="A8" t="inlineStr">
        <is>
          <t>D-007</t>
        </is>
      </c>
      <c r="B8" t="inlineStr">
        <is>
          <t>AveryTech</t>
        </is>
      </c>
      <c r="C8" t="inlineStr">
        <is>
          <t>Technology</t>
        </is>
      </c>
      <c r="D8" t="inlineStr">
        <is>
          <t>Guide</t>
        </is>
      </c>
      <c r="E8" t="inlineStr">
        <is>
          <t>Build accessibility and executive-function products.</t>
        </is>
      </c>
      <c r="F8" t="inlineStr">
        <is>
          <t>Shipped software used by real people.</t>
        </is>
      </c>
      <c r="G8" t="inlineStr">
        <is>
          <t>Active</t>
        </is>
      </c>
    </row>
    <row r="9">
      <c r="A9" t="inlineStr">
        <is>
          <t>D-008</t>
        </is>
      </c>
      <c r="B9" t="inlineStr">
        <is>
          <t>Avery Entertainment</t>
        </is>
      </c>
      <c r="C9" t="inlineStr">
        <is>
          <t>Entertainment</t>
        </is>
      </c>
      <c r="D9" t="inlineStr">
        <is>
          <t>Apollo</t>
        </is>
      </c>
      <c r="E9" t="inlineStr">
        <is>
          <t>Develop IP, stories, games, and media.</t>
        </is>
      </c>
      <c r="F9" t="inlineStr">
        <is>
          <t>Profitable IP pipeline.</t>
        </is>
      </c>
      <c r="G9" t="inlineStr">
        <is>
          <t>Future</t>
        </is>
      </c>
    </row>
    <row r="10">
      <c r="A10" t="inlineStr">
        <is>
          <t>D-009</t>
        </is>
      </c>
      <c r="B10" t="inlineStr">
        <is>
          <t>Avery Community Foundation</t>
        </is>
      </c>
      <c r="C10" t="inlineStr">
        <is>
          <t>Philanthropy</t>
        </is>
      </c>
      <c r="D10" t="inlineStr">
        <is>
          <t>Lantern</t>
        </is>
      </c>
      <c r="E10" t="inlineStr">
        <is>
          <t>Prepare community impact and funding systems.</t>
        </is>
      </c>
      <c r="F10" t="inlineStr">
        <is>
          <t>Measurable mission impact.</t>
        </is>
      </c>
      <c r="G10" t="inlineStr">
        <is>
          <t>Future</t>
        </is>
      </c>
    </row>
    <row r="11">
      <c r="A11" t="inlineStr">
        <is>
          <t>D-010</t>
        </is>
      </c>
      <c r="B11" t="inlineStr">
        <is>
          <t>Operations</t>
        </is>
      </c>
      <c r="C11" t="inlineStr">
        <is>
          <t>Operations</t>
        </is>
      </c>
      <c r="D11" t="inlineStr">
        <is>
          <t>Forge</t>
        </is>
      </c>
      <c r="E11" t="inlineStr">
        <is>
          <t>Build SOPs and reduce operational friction.</t>
        </is>
      </c>
      <c r="F11" t="inlineStr">
        <is>
          <t>Repeatable workflows.</t>
        </is>
      </c>
      <c r="G11" t="inlineStr">
        <is>
          <t>Active</t>
        </is>
      </c>
    </row>
    <row r="12">
      <c r="A12" t="inlineStr">
        <is>
          <t>D-011</t>
        </is>
      </c>
      <c r="B12" t="inlineStr">
        <is>
          <t>Knowledge Management</t>
        </is>
      </c>
      <c r="C12" t="inlineStr">
        <is>
          <t>Operations</t>
        </is>
      </c>
      <c r="D12" t="inlineStr">
        <is>
          <t>Archivist</t>
        </is>
      </c>
      <c r="E12" t="inlineStr">
        <is>
          <t>Maintain memory, documentation, and idea history.</t>
        </is>
      </c>
      <c r="F12" t="inlineStr">
        <is>
          <t>Company knowledge remains searchable.</t>
        </is>
      </c>
      <c r="G12" t="inlineStr">
        <is>
          <t>Active</t>
        </is>
      </c>
    </row>
    <row r="13">
      <c r="A13" t="inlineStr">
        <is>
          <t>D-012</t>
        </is>
      </c>
      <c r="B13" t="inlineStr">
        <is>
          <t>Monitoring &amp; Security</t>
        </is>
      </c>
      <c r="C13" t="inlineStr">
        <is>
          <t>Operations</t>
        </is>
      </c>
      <c r="D13" t="inlineStr">
        <is>
          <t>Sentinel</t>
        </is>
      </c>
      <c r="E13" t="inlineStr">
        <is>
          <t>Track risks, errors, approvals, and security concerns.</t>
        </is>
      </c>
      <c r="F13" t="inlineStr">
        <is>
          <t>No silent failures or unapproved risky actions.</t>
        </is>
      </c>
      <c r="G13" t="inlineStr">
        <is>
          <t>Active</t>
        </is>
      </c>
    </row>
    <row r="14">
      <c r="A14" t="inlineStr">
        <is>
          <t>D-013</t>
        </is>
      </c>
      <c r="B14" t="inlineStr">
        <is>
          <t>Avery Academy</t>
        </is>
      </c>
      <c r="C14" t="inlineStr">
        <is>
          <t>Education</t>
        </is>
      </c>
      <c r="D14" t="inlineStr">
        <is>
          <t>ATLAS Prime</t>
        </is>
      </c>
      <c r="E14" t="inlineStr">
        <is>
          <t>Prepare future training products.</t>
        </is>
      </c>
      <c r="F14" t="inlineStr">
        <is>
          <t>Clear curriculum pipeline.</t>
        </is>
      </c>
      <c r="G14" t="inlineStr">
        <is>
          <t>Future</t>
        </is>
      </c>
    </row>
    <row r="15">
      <c r="A15" t="inlineStr">
        <is>
          <t>D-014</t>
        </is>
      </c>
      <c r="B15" t="inlineStr">
        <is>
          <t>Avery Music Group</t>
        </is>
      </c>
      <c r="C15" t="inlineStr">
        <is>
          <t>Music</t>
        </is>
      </c>
      <c r="D15" t="inlineStr">
        <is>
          <t>ATLAS Prime</t>
        </is>
      </c>
      <c r="E15" t="inlineStr">
        <is>
          <t>Prepare future music and audio publishing.</t>
        </is>
      </c>
      <c r="F15" t="inlineStr">
        <is>
          <t>Rights-safe audio pipeline.</t>
        </is>
      </c>
      <c r="G15" t="inlineStr">
        <is>
          <t>Future</t>
        </is>
      </c>
    </row>
    <row r="16">
      <c r="A16" t="inlineStr">
        <is>
          <t>D-015</t>
        </is>
      </c>
      <c r="B16" t="inlineStr">
        <is>
          <t>Avery Collectibles</t>
        </is>
      </c>
      <c r="C16" t="inlineStr">
        <is>
          <t>Collectibles</t>
        </is>
      </c>
      <c r="D16" t="inlineStr">
        <is>
          <t>ATLAS Prime</t>
        </is>
      </c>
      <c r="E16" t="inlineStr">
        <is>
          <t>Prepare future merchandise and collectibles.</t>
        </is>
      </c>
      <c r="F16" t="inlineStr">
        <is>
          <t>Rights-safe collectible product pipeline.</t>
        </is>
      </c>
      <c r="G16" t="inlineStr">
        <is>
          <t>Future</t>
        </is>
      </c>
    </row>
    <row r="17">
      <c r="A17" t="inlineStr">
        <is>
          <t>D-016</t>
        </is>
      </c>
      <c r="B17" t="inlineStr">
        <is>
          <t>Real Estate Initiatives</t>
        </is>
      </c>
      <c r="C17" t="inlineStr">
        <is>
          <t>Real Estate</t>
        </is>
      </c>
      <c r="D17" t="inlineStr">
        <is>
          <t>Echo</t>
        </is>
      </c>
      <c r="E17" t="inlineStr">
        <is>
          <t>Track future real-world property ideas.</t>
        </is>
      </c>
      <c r="F17" t="inlineStr">
        <is>
          <t>Expansion follows revenue, team, and capacity need.</t>
        </is>
      </c>
      <c r="G17" t="inlineStr">
        <is>
          <t>Future</t>
        </is>
      </c>
    </row>
  </sheetData>
  <autoFilter ref="A1:H17"/>
  <conditionalFormatting sqref="A2:H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dataValidations count="1">
    <dataValidation sqref="G2:G500" showDropDown="0" showInputMessage="0" showErrorMessage="0" allowBlank="1" type="list">
      <formula1>"Active,Future,Paused,Archived"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30" customWidth="1" min="4" max="4"/>
    <col width="13" customWidth="1" min="5" max="5"/>
    <col width="32" customWidth="1" min="6" max="6"/>
    <col width="48" customWidth="1" min="7" max="7"/>
    <col width="12" customWidth="1" min="8" max="8"/>
    <col width="17" customWidth="1" min="9" max="9"/>
    <col width="18" customWidth="1" min="10" max="10"/>
    <col width="12" customWidth="1" min="11" max="11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Title</t>
        </is>
      </c>
      <c r="D1" s="1" t="inlineStr">
        <is>
          <t>Department</t>
        </is>
      </c>
      <c r="E1" s="1" t="inlineStr">
        <is>
          <t>Manager</t>
        </is>
      </c>
      <c r="F1" s="1" t="inlineStr">
        <is>
          <t>Role</t>
        </is>
      </c>
      <c r="G1" s="1" t="inlineStr">
        <is>
          <t>Responsibilities</t>
        </is>
      </c>
      <c r="H1" s="1" t="inlineStr">
        <is>
          <t>Status</t>
        </is>
      </c>
      <c r="I1" s="1" t="inlineStr">
        <is>
          <t>Current Task ID</t>
        </is>
      </c>
      <c r="J1" s="1" t="inlineStr">
        <is>
          <t>Last Report Date</t>
        </is>
      </c>
      <c r="K1" s="1" t="inlineStr">
        <is>
          <t>Notes</t>
        </is>
      </c>
    </row>
    <row r="2">
      <c r="A2" t="inlineStr">
        <is>
          <t>A-001</t>
        </is>
      </c>
      <c r="B2" t="inlineStr">
        <is>
          <t>ATLAS Prime</t>
        </is>
      </c>
      <c r="C2" t="inlineStr">
        <is>
          <t>Chief Operating Agent</t>
        </is>
      </c>
      <c r="D2" t="inlineStr">
        <is>
          <t>Executive Operations</t>
        </is>
      </c>
      <c r="E2" t="inlineStr">
        <is>
          <t>Cole Avery</t>
        </is>
      </c>
      <c r="F2" t="inlineStr">
        <is>
          <t>Coordinate company operations.</t>
        </is>
      </c>
      <c r="G2" t="inlineStr">
        <is>
          <t>Delegate work; produce executive reports; manage agent hierarchy.</t>
        </is>
      </c>
      <c r="H2" t="inlineStr">
        <is>
          <t>Active</t>
        </is>
      </c>
    </row>
    <row r="3">
      <c r="A3" t="inlineStr">
        <is>
          <t>A-002</t>
        </is>
      </c>
      <c r="B3" t="inlineStr">
        <is>
          <t>Echo</t>
        </is>
      </c>
      <c r="C3" t="inlineStr">
        <is>
          <t>Chief Strategy Agent</t>
        </is>
      </c>
      <c r="D3" t="inlineStr">
        <is>
          <t>Executive Strategy</t>
        </is>
      </c>
      <c r="E3" t="inlineStr">
        <is>
          <t>Cole Avery</t>
        </is>
      </c>
      <c r="F3" t="inlineStr">
        <is>
          <t>Analyze strategy and risk.</t>
        </is>
      </c>
      <c r="G3" t="inlineStr">
        <is>
          <t>Opportunity analysis; long-term planning; risk assessment.</t>
        </is>
      </c>
      <c r="H3" t="inlineStr">
        <is>
          <t>Active</t>
        </is>
      </c>
    </row>
    <row r="4">
      <c r="A4" t="inlineStr">
        <is>
          <t>A-003</t>
        </is>
      </c>
      <c r="B4" t="inlineStr">
        <is>
          <t>Circuit</t>
        </is>
      </c>
      <c r="C4" t="inlineStr">
        <is>
          <t>Engineering Director</t>
        </is>
      </c>
      <c r="D4" t="inlineStr">
        <is>
          <t>ATLAS Systems</t>
        </is>
      </c>
      <c r="E4" t="inlineStr">
        <is>
          <t>ATLAS Prime</t>
        </is>
      </c>
      <c r="F4" t="inlineStr">
        <is>
          <t>Lead engineering architecture.</t>
        </is>
      </c>
      <c r="G4" t="inlineStr">
        <is>
          <t>Software architecture; APIs; integrations; databases.</t>
        </is>
      </c>
      <c r="H4" t="inlineStr">
        <is>
          <t>Active</t>
        </is>
      </c>
    </row>
    <row r="5">
      <c r="A5" t="inlineStr">
        <is>
          <t>A-004</t>
        </is>
      </c>
      <c r="B5" t="inlineStr">
        <is>
          <t>Broker</t>
        </is>
      </c>
      <c r="C5" t="inlineStr">
        <is>
          <t>Sales Director</t>
        </is>
      </c>
      <c r="D5" t="inlineStr">
        <is>
          <t>Creator Logistics Sales</t>
        </is>
      </c>
      <c r="E5" t="inlineStr">
        <is>
          <t>ATLAS Prime</t>
        </is>
      </c>
      <c r="F5" t="inlineStr">
        <is>
          <t>Advance revenue leads.</t>
        </is>
      </c>
      <c r="G5" t="inlineStr">
        <is>
          <t>Lead generation; sales funnels; CRM; client acquisition.</t>
        </is>
      </c>
      <c r="H5" t="inlineStr">
        <is>
          <t>Active</t>
        </is>
      </c>
    </row>
    <row r="6">
      <c r="A6" t="inlineStr">
        <is>
          <t>A-005</t>
        </is>
      </c>
      <c r="B6" t="inlineStr">
        <is>
          <t>Mercury</t>
        </is>
      </c>
      <c r="C6" t="inlineStr">
        <is>
          <t>Operations Director</t>
        </is>
      </c>
      <c r="D6" t="inlineStr">
        <is>
          <t>Creator Logistics Operations</t>
        </is>
      </c>
      <c r="E6" t="inlineStr">
        <is>
          <t>ATLAS Prime</t>
        </is>
      </c>
      <c r="F6" t="inlineStr">
        <is>
          <t>Run fulfillment.</t>
        </is>
      </c>
      <c r="G6" t="inlineStr">
        <is>
          <t>Delivery; client fulfillment; production pipelines; QC.</t>
        </is>
      </c>
      <c r="H6" t="inlineStr">
        <is>
          <t>Active</t>
        </is>
      </c>
    </row>
    <row r="7">
      <c r="A7" t="inlineStr">
        <is>
          <t>A-006</t>
        </is>
      </c>
      <c r="B7" t="inlineStr">
        <is>
          <t>Broadcaster</t>
        </is>
      </c>
      <c r="C7" t="inlineStr">
        <is>
          <t>Marketing Director</t>
        </is>
      </c>
      <c r="D7" t="inlineStr">
        <is>
          <t>Marketing &amp; Growth</t>
        </is>
      </c>
      <c r="E7" t="inlineStr">
        <is>
          <t>ATLAS Prime</t>
        </is>
      </c>
      <c r="F7" t="inlineStr">
        <is>
          <t>Grow reach and trust.</t>
        </is>
      </c>
      <c r="G7" t="inlineStr">
        <is>
          <t>Social; SEO; content; brand expansion.</t>
        </is>
      </c>
      <c r="H7" t="inlineStr">
        <is>
          <t>Active</t>
        </is>
      </c>
    </row>
    <row r="8">
      <c r="A8" t="inlineStr">
        <is>
          <t>A-007</t>
        </is>
      </c>
      <c r="B8" t="inlineStr">
        <is>
          <t>Guide</t>
        </is>
      </c>
      <c r="C8" t="inlineStr">
        <is>
          <t>Product Director</t>
        </is>
      </c>
      <c r="D8" t="inlineStr">
        <is>
          <t>AveryTech</t>
        </is>
      </c>
      <c r="E8" t="inlineStr">
        <is>
          <t>ATLAS Prime</t>
        </is>
      </c>
      <c r="F8" t="inlineStr">
        <is>
          <t>Guide product direction.</t>
        </is>
      </c>
      <c r="G8" t="inlineStr">
        <is>
          <t>Roadmaps; accessibility; user testing; feature priority.</t>
        </is>
      </c>
      <c r="H8" t="inlineStr">
        <is>
          <t>Active</t>
        </is>
      </c>
    </row>
    <row r="9">
      <c r="A9" t="inlineStr">
        <is>
          <t>A-008</t>
        </is>
      </c>
      <c r="B9" t="inlineStr">
        <is>
          <t>Apollo</t>
        </is>
      </c>
      <c r="C9" t="inlineStr">
        <is>
          <t>Entertainment Director</t>
        </is>
      </c>
      <c r="D9" t="inlineStr">
        <is>
          <t>Avery Entertainment</t>
        </is>
      </c>
      <c r="E9" t="inlineStr">
        <is>
          <t>ATLAS Prime</t>
        </is>
      </c>
      <c r="F9" t="inlineStr">
        <is>
          <t>Develop entertainment IP.</t>
        </is>
      </c>
      <c r="G9" t="inlineStr">
        <is>
          <t>Story; lore; characters; games; comics.</t>
        </is>
      </c>
      <c r="H9" t="inlineStr">
        <is>
          <t>Idle</t>
        </is>
      </c>
    </row>
    <row r="10">
      <c r="A10" t="inlineStr">
        <is>
          <t>A-009</t>
        </is>
      </c>
      <c r="B10" t="inlineStr">
        <is>
          <t>Lantern</t>
        </is>
      </c>
      <c r="C10" t="inlineStr">
        <is>
          <t>Funding Director</t>
        </is>
      </c>
      <c r="D10" t="inlineStr">
        <is>
          <t>Avery Community Foundation</t>
        </is>
      </c>
      <c r="E10" t="inlineStr">
        <is>
          <t>ATLAS Prime</t>
        </is>
      </c>
      <c r="F10" t="inlineStr">
        <is>
          <t>Prepare funding systems.</t>
        </is>
      </c>
      <c r="G10" t="inlineStr">
        <is>
          <t>Grants; sponsorships; donor research; funding readiness.</t>
        </is>
      </c>
      <c r="H10" t="inlineStr">
        <is>
          <t>Idle</t>
        </is>
      </c>
    </row>
    <row r="11">
      <c r="A11" t="inlineStr">
        <is>
          <t>A-010</t>
        </is>
      </c>
      <c r="B11" t="inlineStr">
        <is>
          <t>Forge</t>
        </is>
      </c>
      <c r="C11" t="inlineStr">
        <is>
          <t>Operations Director</t>
        </is>
      </c>
      <c r="D11" t="inlineStr">
        <is>
          <t>Operations</t>
        </is>
      </c>
      <c r="E11" t="inlineStr">
        <is>
          <t>ATLAS Prime</t>
        </is>
      </c>
      <c r="F11" t="inlineStr">
        <is>
          <t>Improve operations.</t>
        </is>
      </c>
      <c r="G11" t="inlineStr">
        <is>
          <t>SOPs; process design; workflow optimization.</t>
        </is>
      </c>
      <c r="H11" t="inlineStr">
        <is>
          <t>Active</t>
        </is>
      </c>
    </row>
    <row r="12">
      <c r="A12" t="inlineStr">
        <is>
          <t>A-011</t>
        </is>
      </c>
      <c r="B12" t="inlineStr">
        <is>
          <t>Archivist</t>
        </is>
      </c>
      <c r="C12" t="inlineStr">
        <is>
          <t>Knowledge Director</t>
        </is>
      </c>
      <c r="D12" t="inlineStr">
        <is>
          <t>Knowledge Management</t>
        </is>
      </c>
      <c r="E12" t="inlineStr">
        <is>
          <t>ATLAS Prime</t>
        </is>
      </c>
      <c r="F12" t="inlineStr">
        <is>
          <t>Maintain company knowledge.</t>
        </is>
      </c>
      <c r="G12" t="inlineStr">
        <is>
          <t>Memory; docs; idea vault; assets.</t>
        </is>
      </c>
      <c r="H12" t="inlineStr">
        <is>
          <t>Active</t>
        </is>
      </c>
    </row>
    <row r="13">
      <c r="A13" t="inlineStr">
        <is>
          <t>A-012</t>
        </is>
      </c>
      <c r="B13" t="inlineStr">
        <is>
          <t>Sentinel</t>
        </is>
      </c>
      <c r="C13" t="inlineStr">
        <is>
          <t>Security Director</t>
        </is>
      </c>
      <c r="D13" t="inlineStr">
        <is>
          <t>Monitoring &amp; Security</t>
        </is>
      </c>
      <c r="E13" t="inlineStr">
        <is>
          <t>ATLAS Prime</t>
        </is>
      </c>
      <c r="F13" t="inlineStr">
        <is>
          <t>Protect systems and decisions.</t>
        </is>
      </c>
      <c r="G13" t="inlineStr">
        <is>
          <t>Backups; monitoring; errors; security; approvals.</t>
        </is>
      </c>
      <c r="H13" t="inlineStr">
        <is>
          <t>Active</t>
        </is>
      </c>
    </row>
  </sheetData>
  <autoFilter ref="A1:K13"/>
  <conditionalFormatting sqref="A2:K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dataValidations count="1">
    <dataValidation sqref="H2:H500" showDropDown="0" showInputMessage="0" showErrorMessage="0" allowBlank="1" type="list">
      <formula1>"Active,Idle,Waiting,Blocked,Disabled"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8" customWidth="1" min="4" max="4"/>
    <col width="13" customWidth="1" min="5" max="5"/>
    <col width="12" customWidth="1" min="6" max="6"/>
    <col width="14" customWidth="1" min="7" max="7"/>
  </cols>
  <sheetData>
    <row r="1">
      <c r="A1" s="1" t="inlineStr">
        <is>
          <t>SOP ID</t>
        </is>
      </c>
      <c r="B1" s="1" t="inlineStr">
        <is>
          <t>SOP Name</t>
        </is>
      </c>
      <c r="C1" s="1" t="inlineStr">
        <is>
          <t>Department</t>
        </is>
      </c>
      <c r="D1" s="1" t="inlineStr">
        <is>
          <t>Procedure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 Updated</t>
        </is>
      </c>
    </row>
    <row r="2">
      <c r="A2" t="inlineStr">
        <is>
          <t>SOP-001</t>
        </is>
      </c>
      <c r="B2" t="inlineStr">
        <is>
          <t>Task Creation SOP</t>
        </is>
      </c>
      <c r="C2" t="inlineStr">
        <is>
          <t>Operations</t>
        </is>
      </c>
      <c r="D2" t="inlineStr">
        <is>
          <t>Create tasks in Agent Tasks with owner, priority, due date, approval flag, and expected output.</t>
        </is>
      </c>
      <c r="E2" t="inlineStr">
        <is>
          <t>Forge</t>
        </is>
      </c>
      <c r="F2" t="inlineStr">
        <is>
          <t>Active</t>
        </is>
      </c>
    </row>
    <row r="3">
      <c r="A3" t="inlineStr">
        <is>
          <t>SOP-002</t>
        </is>
      </c>
      <c r="B3" t="inlineStr">
        <is>
          <t>Task Assignment SOP</t>
        </is>
      </c>
      <c r="C3" t="inlineStr">
        <is>
          <t>Executive Operations</t>
        </is>
      </c>
      <c r="D3" t="inlineStr">
        <is>
          <t>Assign every task to one agent and one manager agent. Unassigned work stays in Backlog.</t>
        </is>
      </c>
      <c r="E3" t="inlineStr">
        <is>
          <t>ATLAS Prime</t>
        </is>
      </c>
      <c r="F3" t="inlineStr">
        <is>
          <t>Active</t>
        </is>
      </c>
    </row>
    <row r="4">
      <c r="A4" t="inlineStr">
        <is>
          <t>SOP-003</t>
        </is>
      </c>
      <c r="B4" t="inlineStr">
        <is>
          <t>Approval Routing SOP</t>
        </is>
      </c>
      <c r="C4" t="inlineStr">
        <is>
          <t>Monitoring &amp; Security</t>
        </is>
      </c>
      <c r="D4" t="inlineStr">
        <is>
          <t>Any money, message, public post, submission, contract, or hiring action goes to Approvals before execution.</t>
        </is>
      </c>
      <c r="E4" t="inlineStr">
        <is>
          <t>Sentinel</t>
        </is>
      </c>
      <c r="F4" t="inlineStr">
        <is>
          <t>Active</t>
        </is>
      </c>
    </row>
    <row r="5">
      <c r="A5" t="inlineStr">
        <is>
          <t>SOP-004</t>
        </is>
      </c>
      <c r="B5" t="inlineStr">
        <is>
          <t>Daily Report SOP</t>
        </is>
      </c>
      <c r="C5" t="inlineStr">
        <is>
          <t>Executive Operations</t>
        </is>
      </c>
      <c r="D5" t="inlineStr">
        <is>
          <t>Managers add daily summaries to Executive Reports before the morning brief is prepared.</t>
        </is>
      </c>
      <c r="E5" t="inlineStr">
        <is>
          <t>ATLAS Prime</t>
        </is>
      </c>
      <c r="F5" t="inlineStr">
        <is>
          <t>Active</t>
        </is>
      </c>
    </row>
    <row r="6">
      <c r="A6" t="inlineStr">
        <is>
          <t>SOP-005</t>
        </is>
      </c>
      <c r="B6" t="inlineStr">
        <is>
          <t>Idea Vault SOP</t>
        </is>
      </c>
      <c r="C6" t="inlineStr">
        <is>
          <t>Knowledge Management</t>
        </is>
      </c>
      <c r="D6" t="inlineStr">
        <is>
          <t>Capture every idea first, then expand, score, assign, pause, or archive.</t>
        </is>
      </c>
      <c r="E6" t="inlineStr">
        <is>
          <t>Archivist</t>
        </is>
      </c>
      <c r="F6" t="inlineStr">
        <is>
          <t>Active</t>
        </is>
      </c>
    </row>
    <row r="7">
      <c r="A7" t="inlineStr">
        <is>
          <t>SOP-006</t>
        </is>
      </c>
      <c r="B7" t="inlineStr">
        <is>
          <t>Lead Management SOP</t>
        </is>
      </c>
      <c r="C7" t="inlineStr">
        <is>
          <t>Creator Logistics Sales</t>
        </is>
      </c>
      <c r="D7" t="inlineStr">
        <is>
          <t>All Creator Logistics prospects go in Leads before outreach or proposal drafting.</t>
        </is>
      </c>
      <c r="E7" t="inlineStr">
        <is>
          <t>Broker</t>
        </is>
      </c>
      <c r="F7" t="inlineStr">
        <is>
          <t>Active</t>
        </is>
      </c>
    </row>
    <row r="8">
      <c r="A8" t="inlineStr">
        <is>
          <t>SOP-007</t>
        </is>
      </c>
      <c r="B8" t="inlineStr">
        <is>
          <t>Escalation SOP</t>
        </is>
      </c>
      <c r="C8" t="inlineStr">
        <is>
          <t>Monitoring &amp; Security</t>
        </is>
      </c>
      <c r="D8" t="inlineStr">
        <is>
          <t>Blocked, critical, risky, or unclear work is escalated to Executive Queue.</t>
        </is>
      </c>
      <c r="E8" t="inlineStr">
        <is>
          <t>Sentinel</t>
        </is>
      </c>
      <c r="F8" t="inlineStr">
        <is>
          <t>Active</t>
        </is>
      </c>
    </row>
  </sheetData>
  <autoFilter ref="A1:G8"/>
  <conditionalFormatting sqref="A2:G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dataValidations count="1">
    <dataValidation sqref="F2:F500" showDropDown="0" showInputMessage="0" showErrorMessage="0" allowBlank="1" type="list">
      <formula1>"Draft,Active,Needs Review,Archived"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32" customWidth="1" min="3" max="3"/>
  </cols>
  <sheetData>
    <row r="1">
      <c r="A1" s="1" t="inlineStr">
        <is>
          <t>Section</t>
        </is>
      </c>
      <c r="B1" s="1" t="inlineStr">
        <is>
          <t>Formula / Manual Entry</t>
        </is>
      </c>
      <c r="C1" s="1" t="inlineStr">
        <is>
          <t>Notes</t>
        </is>
      </c>
    </row>
    <row r="2">
      <c r="A2" t="inlineStr">
        <is>
          <t>Today's Critical Tasks</t>
        </is>
      </c>
      <c r="B2">
        <f>FILTER('Agent Tasks'!A:N,'Agent Tasks'!G:G="Critical")</f>
        <v/>
      </c>
      <c r="C2" t="inlineStr">
        <is>
          <t>Critical work only.</t>
        </is>
      </c>
    </row>
    <row r="3">
      <c r="A3" t="inlineStr">
        <is>
          <t>Pending Approvals</t>
        </is>
      </c>
      <c r="B3">
        <f>FILTER(Approvals!A:L,Approvals!I:I="Pending")</f>
        <v/>
      </c>
      <c r="C3" t="inlineStr">
        <is>
          <t>Cole approval queue.</t>
        </is>
      </c>
    </row>
    <row r="4">
      <c r="A4" t="inlineStr">
        <is>
          <t>Blocked Tasks</t>
        </is>
      </c>
      <c r="B4">
        <f>FILTER('Agent Tasks'!A:N,'Agent Tasks'!H:H="Blocked")</f>
        <v/>
      </c>
      <c r="C4" t="inlineStr">
        <is>
          <t>Tasks that need intervention.</t>
        </is>
      </c>
    </row>
    <row r="5">
      <c r="A5" t="inlineStr">
        <is>
          <t>New Leads</t>
        </is>
      </c>
      <c r="B5">
        <f>FILTER(Leads!A:N,Leads!I:I="New")</f>
        <v/>
      </c>
      <c r="C5" t="inlineStr">
        <is>
          <t>Fresh Creator Logistics leads.</t>
        </is>
      </c>
    </row>
    <row r="6">
      <c r="A6" t="inlineStr">
        <is>
          <t>Department Updates</t>
        </is>
      </c>
      <c r="B6" t="inlineStr">
        <is>
          <t>Manual summary from Executive Reports.</t>
        </is>
      </c>
      <c r="C6" t="inlineStr">
        <is>
          <t>Keep under 5 bullets.</t>
        </is>
      </c>
    </row>
    <row r="7">
      <c r="A7" t="inlineStr">
        <is>
          <t>Recommended CEO Decisions</t>
        </is>
      </c>
      <c r="B7" t="inlineStr">
        <is>
          <t>Manual ATLAS recommendation. Limit to 1-3 decisions.</t>
        </is>
      </c>
      <c r="C7" t="inlineStr">
        <is>
          <t>Limit to 1-3 decisions.</t>
        </is>
      </c>
    </row>
    <row r="8">
      <c r="A8" t="inlineStr">
        <is>
          <t>Working Tasks Count</t>
        </is>
      </c>
      <c r="B8">
        <f>COUNTIF('Agent Tasks'!H:H,"Working")</f>
        <v/>
      </c>
      <c r="C8" t="inlineStr">
        <is>
          <t>Automation metric.</t>
        </is>
      </c>
    </row>
    <row r="9">
      <c r="A9" t="inlineStr">
        <is>
          <t>Pending Approval Count</t>
        </is>
      </c>
      <c r="B9">
        <f>COUNTIF(Approvals!I:I,"Pending")</f>
        <v/>
      </c>
      <c r="C9" t="inlineStr">
        <is>
          <t>Automation metric.</t>
        </is>
      </c>
    </row>
    <row r="10">
      <c r="A10" t="inlineStr">
        <is>
          <t>High Priority Task Count</t>
        </is>
      </c>
      <c r="B10">
        <f>COUNTIF('Agent Tasks'!G:G,"High")</f>
        <v/>
      </c>
      <c r="C10" t="inlineStr">
        <is>
          <t>Automation metric.</t>
        </is>
      </c>
    </row>
    <row r="11">
      <c r="A11" t="inlineStr">
        <is>
          <t>Qualified Lead Count</t>
        </is>
      </c>
      <c r="B11">
        <f>COUNTIF(Leads!I:I,"Qualified")</f>
        <v/>
      </c>
      <c r="C11" t="inlineStr">
        <is>
          <t>Automation metric.</t>
        </is>
      </c>
    </row>
    <row r="12">
      <c r="A12" t="inlineStr">
        <is>
          <t>Report Date</t>
        </is>
      </c>
      <c r="B12" t="inlineStr">
        <is>
          <t>2026-06-02</t>
        </is>
      </c>
      <c r="C12" t="inlineStr">
        <is>
          <t>Auto-refreshed by local ATLAS updater.</t>
        </is>
      </c>
    </row>
    <row r="13">
      <c r="A13" t="inlineStr">
        <is>
          <t>Last Updated</t>
        </is>
      </c>
      <c r="B13" t="inlineStr">
        <is>
          <t>2026-06-02 14:27:22</t>
        </is>
      </c>
      <c r="C13" t="inlineStr">
        <is>
          <t>Auto-refreshed by local ATLAS updater.</t>
        </is>
      </c>
    </row>
  </sheetData>
  <autoFilter ref="A1:C11"/>
  <conditionalFormatting sqref="A2:C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"Complete"</formula>
    </cfRule>
    <cfRule type="cellIs" priority="4" operator="equal" dxfId="0">
      <formula>"Blocked"</formula>
    </cfRule>
    <cfRule type="cellIs" priority="5" operator="equal" dxfId="3">
      <formula>"Pending"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2026-06-02T18:08:33Z</dcterms:created>
  <dcterms:modified xsi:type="dcterms:W3CDTF">2026-06-02T18:27:22Z</dcterms:modified>
</cp:coreProperties>
</file>